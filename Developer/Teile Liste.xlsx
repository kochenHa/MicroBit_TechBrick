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9dc2e460a45fdf0/Desktop/MicroBit_TechBrick/Developer/"/>
    </mc:Choice>
  </mc:AlternateContent>
  <xr:revisionPtr revIDLastSave="609" documentId="11_AD4DB114E441178AC67DF4D3CE55C83A693EDF22" xr6:coauthVersionLast="47" xr6:coauthVersionMax="47" xr10:uidLastSave="{DCD0F9CA-3491-4F71-BF5A-D1A9F4984D87}"/>
  <bookViews>
    <workbookView xWindow="3510" yWindow="3510" windowWidth="21600" windowHeight="11295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" i="1" l="1"/>
  <c r="I93" i="1" s="1"/>
</calcChain>
</file>

<file path=xl/sharedStrings.xml><?xml version="1.0" encoding="utf-8"?>
<sst xmlns="http://schemas.openxmlformats.org/spreadsheetml/2006/main" count="178" uniqueCount="105">
  <si>
    <t>Gerät</t>
  </si>
  <si>
    <t>TeileNummer</t>
  </si>
  <si>
    <t>Teil Name</t>
  </si>
  <si>
    <t>Anzahl</t>
  </si>
  <si>
    <t>Link/Verzeichniss</t>
  </si>
  <si>
    <t>Preis</t>
  </si>
  <si>
    <t>Servo</t>
  </si>
  <si>
    <t>Anleitung</t>
  </si>
  <si>
    <t>Servo_Achse</t>
  </si>
  <si>
    <t>STL</t>
  </si>
  <si>
    <t>Servo_Case</t>
  </si>
  <si>
    <t>Explosion</t>
  </si>
  <si>
    <t>Servo_Deckel</t>
  </si>
  <si>
    <t>TeileNamen, CAD</t>
  </si>
  <si>
    <t>SG-92</t>
  </si>
  <si>
    <t>https://www.reichelt.de/de/de/shop/produkt/servo_high_end_micro_analog-238316</t>
  </si>
  <si>
    <t>Code</t>
  </si>
  <si>
    <t>M3x5</t>
  </si>
  <si>
    <t>Typ_C_Buchse</t>
  </si>
  <si>
    <t>https://www.amazon.de/RUNCCI-YUN-Testplatine-gebogenem-Stift2-54mm-Konverter-Gr%C3%BCn/dp/B0F1MKPN28</t>
  </si>
  <si>
    <t>ATtiny 85</t>
  </si>
  <si>
    <t>https://www.reichelt.de/de/de/shop/produkt/8-bit-attiny_avr-risc_mikrocontroller_8_kb_20_mhz_dip-8-69299</t>
  </si>
  <si>
    <t>Dip Sockel</t>
  </si>
  <si>
    <t>https://www.reichelt.de/de/de/shop/produkt/ic-sockel_8-polig_doppelter_federkontakt-8230</t>
  </si>
  <si>
    <t>UltraschallSensor</t>
  </si>
  <si>
    <t>Ultraschall_Case</t>
  </si>
  <si>
    <t>Ultraschall_Deckel</t>
  </si>
  <si>
    <t>HC-SR04</t>
  </si>
  <si>
    <t>https://www.reichelt.de/de/de/shop/produkt/entwicklerboards_-_ultraschall_abstandssensor_hc-sr04-161487</t>
  </si>
  <si>
    <t>DC_Motor</t>
  </si>
  <si>
    <t>DC_Gehäuse</t>
  </si>
  <si>
    <t>DC_Deckel</t>
  </si>
  <si>
    <t>DC_Achse</t>
  </si>
  <si>
    <t>https://www.reichelt.de/de/de/shop/produkt/mini_metallgetriebemotor_inkl_rad_und_halter-258664#closemodal</t>
  </si>
  <si>
    <t>Motor Treiber</t>
  </si>
  <si>
    <t>https://www.reichelt.de/de/de/shop/produkt/push-pull_ttl-logik_4-kanal-treiber_0_6_aout_dip-16-9661</t>
  </si>
  <si>
    <t>Rollentaster</t>
  </si>
  <si>
    <t>Taster_Base</t>
  </si>
  <si>
    <t>Taster_Top</t>
  </si>
  <si>
    <t>Taster_Kopf</t>
  </si>
  <si>
    <t>Taster_Feder</t>
  </si>
  <si>
    <t>Taster_Klemmbaustein</t>
  </si>
  <si>
    <t>https://www.conrad.de/de/p/omron-d2f-01l2-mikroschalter-30-v-dc-0-1-a-1-x-ein-ein-1-st-bag-2591581.html</t>
  </si>
  <si>
    <t>M2x8</t>
  </si>
  <si>
    <t>M3x16</t>
  </si>
  <si>
    <t>M3x20</t>
  </si>
  <si>
    <t>Farbsensor</t>
  </si>
  <si>
    <t>Farbsensor_Case</t>
  </si>
  <si>
    <t>Farbsensor_Deckel</t>
  </si>
  <si>
    <t>https://www.reichelt.de/de/de/shop/produkt/entwicklerboards_-_gestenerkennung_rgb_ir_apds-9960-291453</t>
  </si>
  <si>
    <t>Code-</t>
  </si>
  <si>
    <t>Logic Level Converter</t>
  </si>
  <si>
    <t>https://www.reichelt.de/de/de/shop/produkt/entwicklerboards_-_ttl_logic_level_converter_3_3v_5v-282702?PROVID=2788</t>
  </si>
  <si>
    <t>DC-DC Wandler 12V-3,3V</t>
  </si>
  <si>
    <t>https://www.reichelt.de/de/de/shop/produkt/dc_dc-wandler_tsr_1_5e_1_5_a_7-36_3_3_vdc_sil-3-312379</t>
  </si>
  <si>
    <t>Helligkeitssensor</t>
  </si>
  <si>
    <t>Helligkeitssensor_Case</t>
  </si>
  <si>
    <t>Helligkeitssensor_Deckel</t>
  </si>
  <si>
    <t>Fotowiederstand</t>
  </si>
  <si>
    <t>https://www.amazon.de/AZDelivery-10St%C3%BCck-Fotowiderstand-Resistor-kompatibel/dp/B089YNCYG4</t>
  </si>
  <si>
    <t>4,7 kOhm</t>
  </si>
  <si>
    <t>Brick</t>
  </si>
  <si>
    <t>Brick_Case</t>
  </si>
  <si>
    <t>Brick_Case_Deckel</t>
  </si>
  <si>
    <t>Brick_Halter_12V</t>
  </si>
  <si>
    <t>Platine_Spannungsversorgung</t>
  </si>
  <si>
    <t>Eigene Anleitung verfügbar</t>
  </si>
  <si>
    <t>Platine_Levelkonverter</t>
  </si>
  <si>
    <t>BBC_Microbit</t>
  </si>
  <si>
    <t>https://www.conrad.de/de/p/bbc-micro-bit-v2-21-go-bundle-2308377.html</t>
  </si>
  <si>
    <t>Batteriehalter</t>
  </si>
  <si>
    <t>https://www.reichelt.de/de/de/shop/produkt/batteriehalter_fuer_8_mignonzellen_aa_druckknopf-8443</t>
  </si>
  <si>
    <t>12V_Buchse</t>
  </si>
  <si>
    <t>https://www.reichelt.de/de/de/shop/produkt/standard_adapter_fuer_hohlsteckerbuchsen_gerade-157366</t>
  </si>
  <si>
    <t>Schalter</t>
  </si>
  <si>
    <t>https://www.conrad.de/de/p/tru-components-6351072-tc-r13-603c-05-schiebeschalter-250-v-ac-3-a-1-x-ein-ein-1-st-1587768.html#productTechData</t>
  </si>
  <si>
    <t>M3x25</t>
  </si>
  <si>
    <t>M2x5</t>
  </si>
  <si>
    <t>M2</t>
  </si>
  <si>
    <t>Brick_Platine_Spannungsversorgung</t>
  </si>
  <si>
    <t>Lochrasterplatine (25*18 Löcher)</t>
  </si>
  <si>
    <t>https://www.reichelt.de/de/de/shop/produkt/lochrasterplatine_hartpapier_100x100mm-8270</t>
  </si>
  <si>
    <t>Diode</t>
  </si>
  <si>
    <t>https://www.reichelt.de/de/de/shop/produkt/gleichrichterdiode_600_v_5_a_do-201-6340</t>
  </si>
  <si>
    <t>DC-DC Wandler einstellbar</t>
  </si>
  <si>
    <t>https://www.amazon.de/Yizhet-Stromversorgung-Abw%C3%A4rtswandler-Einstellbares-Abw%C3%A4rtsmodul/dp/B0823P6PW6</t>
  </si>
  <si>
    <t>Relais</t>
  </si>
  <si>
    <t>https://www.amazon.de/heschen-Relais-jqc-3-250-VAC-Terminals/dp/B07459YLH3</t>
  </si>
  <si>
    <t>Batterieclip</t>
  </si>
  <si>
    <t>https://www.reichelt.de/de/de/shop/produkt/batterieclip_fuer_9-v_bloecke_l-form-113165</t>
  </si>
  <si>
    <t>Brick_Platine_Levelkonverter</t>
  </si>
  <si>
    <t>Allgemeine Dinge</t>
  </si>
  <si>
    <t>Lochrasterplatine</t>
  </si>
  <si>
    <t>1 Stück</t>
  </si>
  <si>
    <t>Kabel rot</t>
  </si>
  <si>
    <t>Rolle</t>
  </si>
  <si>
    <t>https://www.reichelt.de/de/de/shop/produkt/kupferlitze_isoliert_10_m_1_x_0_14_mm_rot-10297</t>
  </si>
  <si>
    <t>Kabel schwarz</t>
  </si>
  <si>
    <t>https://www.reichelt.de/de/de/shop/produkt/kupferlitze_isoliert_10_m_1_x_0_14_mm_schwarz-10298</t>
  </si>
  <si>
    <t>Kabel gelb</t>
  </si>
  <si>
    <t>https://www.reichelt.de/de/de/shop/produkt/kupferlitze_isoliert_10_m_1_x_0_14_mm_gelb-10294</t>
  </si>
  <si>
    <t>Filament</t>
  </si>
  <si>
    <t>Schrauben</t>
  </si>
  <si>
    <t>Sets</t>
  </si>
  <si>
    <t>Summe 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</si>
</sst>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/>
    <xf numFmtId="0" fontId="2" fillId="0" borderId="0" xfId="1" applyAlignment="1">
      <alignment horizontal="left"/>
    </xf>
    <xf numFmtId="0" fontId="2" fillId="0" borderId="0" xfId="2"/>
    <xf numFmtId="0" fontId="2" fillId="0" borderId="0" xfId="2" applyAlignment="1"/>
    <xf numFmtId="164" fontId="0" fillId="0" borderId="0" xfId="0" applyNumberFormat="1"/>
    <xf numFmtId="0" fontId="0" fillId="6" borderId="0" xfId="0" applyFill="1"/>
    <xf numFmtId="164" fontId="0" fillId="6" borderId="0" xfId="0" applyNumberFormat="1" applyFill="1"/>
    <xf numFmtId="0" fontId="0" fillId="6" borderId="0" xfId="0" applyFill="1" applyAlignment="1">
      <alignment horizontal="center"/>
    </xf>
    <xf numFmtId="0" fontId="2" fillId="6" borderId="0" xfId="2" applyFill="1"/>
    <xf numFmtId="0" fontId="0" fillId="5" borderId="0" xfId="0" applyFill="1" applyAlignment="1">
      <alignment horizontal="center"/>
    </xf>
  </cellXfs>
  <cellStyles count="3">
    <cellStyle name="Hyperlink" xfId="2" xr:uid="{00000000-000B-0000-0000-000008000000}"/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de/RUNCCI-YUN-Testplatine-gebogenem-Stift2-54mm-Konverter-Gr%C3%BCn/dp/B0F1MKPN28" TargetMode="External"/><Relationship Id="rId18" Type="http://schemas.openxmlformats.org/officeDocument/2006/relationships/hyperlink" Target="https://www.reichelt.de/de/de/shop/produkt/dc_dc-wandler_tsr_1_5e_1_5_a_7-36_3_3_vdc_sil-3-312379" TargetMode="External"/><Relationship Id="rId26" Type="http://schemas.openxmlformats.org/officeDocument/2006/relationships/hyperlink" Target="https://www.reichelt.de/de/de/shop/produkt/8-bit-attiny_avr-risc_mikrocontroller_8_kb_20_mhz_dip-8-69299" TargetMode="External"/><Relationship Id="rId39" Type="http://schemas.openxmlformats.org/officeDocument/2006/relationships/hyperlink" Target="https://www.reichelt.de/de/de/shop/produkt/entwicklerboards_-_ttl_logic_level_converter_3_3v_5v-282702?PROVID=2788" TargetMode="External"/><Relationship Id="rId21" Type="http://schemas.openxmlformats.org/officeDocument/2006/relationships/hyperlink" Target="https://www.amazon.de/heschen-Relais-jqc-3-250-VAC-Terminals/dp/B07459YLH3" TargetMode="External"/><Relationship Id="rId34" Type="http://schemas.openxmlformats.org/officeDocument/2006/relationships/hyperlink" Target="https://www.reichelt.de/de/de/shop/produkt/ic-sockel_8-polig_doppelter_federkontakt-8230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www.reichelt.de/de/de/shop/produkt/batteriehalter_fuer_8_mignonzellen_aa_druckknopf-8443" TargetMode="External"/><Relationship Id="rId2" Type="http://schemas.openxmlformats.org/officeDocument/2006/relationships/hyperlink" Target="https://www.reichelt.de/de/de/shop/produkt/entwicklerboards_-_ultraschall_abstandssensor_hc-sr04-161487" TargetMode="External"/><Relationship Id="rId16" Type="http://schemas.openxmlformats.org/officeDocument/2006/relationships/hyperlink" Target="https://www.reichelt.de/de/de/shop/produkt/lochrasterplatine_hartpapier_100x100mm-8270" TargetMode="External"/><Relationship Id="rId20" Type="http://schemas.openxmlformats.org/officeDocument/2006/relationships/hyperlink" Target="https://www.reichelt.de/de/de/shop/produkt/batterieclip_fuer_9-v_bloecke_l-form-113165" TargetMode="External"/><Relationship Id="rId29" Type="http://schemas.openxmlformats.org/officeDocument/2006/relationships/hyperlink" Target="https://www.reichelt.de/de/de/shop/produkt/ic-sockel_8-polig_doppelter_federkontakt-8230" TargetMode="External"/><Relationship Id="rId41" Type="http://schemas.openxmlformats.org/officeDocument/2006/relationships/hyperlink" Target="https://www.reichelt.de/de/de/shop/produkt/dc_dc-wandler_tsr_1_5e_1_5_a_7-36_3_3_vdc_sil-3-312379" TargetMode="External"/><Relationship Id="rId1" Type="http://schemas.openxmlformats.org/officeDocument/2006/relationships/hyperlink" Target="https://www.reichelt.de/de/de/shop/produkt/servo_high_end_micro_analog-238316" TargetMode="External"/><Relationship Id="rId6" Type="http://schemas.openxmlformats.org/officeDocument/2006/relationships/hyperlink" Target="https://www.reichelt.de/de/de/shop/produkt/entwicklerboards_-_gestenerkennung_rgb_ir_apds-9960-291453" TargetMode="External"/><Relationship Id="rId11" Type="http://schemas.openxmlformats.org/officeDocument/2006/relationships/hyperlink" Target="https://www.amazon.de/RUNCCI-YUN-Testplatine-gebogenem-Stift2-54mm-Konverter-Gr%C3%BCn/dp/B0F1MKPN28" TargetMode="External"/><Relationship Id="rId24" Type="http://schemas.openxmlformats.org/officeDocument/2006/relationships/hyperlink" Target="https://www.reichelt.de/de/de/shop/produkt/8-bit-attiny_avr-risc_mikrocontroller_8_kb_20_mhz_dip-8-69299" TargetMode="External"/><Relationship Id="rId32" Type="http://schemas.openxmlformats.org/officeDocument/2006/relationships/hyperlink" Target="https://www.reichelt.de/de/de/shop/produkt/lochrasterplatine_hartpapier_100x100mm-8270" TargetMode="External"/><Relationship Id="rId37" Type="http://schemas.openxmlformats.org/officeDocument/2006/relationships/hyperlink" Target="https://www.reichelt.de/de/de/shop/produkt/kupferlitze_isoliert_10_m_1_x_0_14_mm_gelb-10294" TargetMode="External"/><Relationship Id="rId40" Type="http://schemas.openxmlformats.org/officeDocument/2006/relationships/hyperlink" Target="https://www.reichelt.de/de/de/shop/produkt/entwicklerboards_-_ttl_logic_level_converter_3_3v_5v-282702?PROVID=2788" TargetMode="External"/><Relationship Id="rId5" Type="http://schemas.openxmlformats.org/officeDocument/2006/relationships/hyperlink" Target="https://www.conrad.de/de/p/bbc-micro-bit-v2-21-go-bundle-2308377.html" TargetMode="External"/><Relationship Id="rId15" Type="http://schemas.openxmlformats.org/officeDocument/2006/relationships/hyperlink" Target="https://www.reichelt.de/de/de/shop/produkt/standard_adapter_fuer_hohlsteckerbuchsen_gerade-157366" TargetMode="External"/><Relationship Id="rId23" Type="http://schemas.openxmlformats.org/officeDocument/2006/relationships/hyperlink" Target="https://www.amazon.de/AZDelivery-10St%C3%BCck-Fotowiderstand-Resistor-kompatibel/dp/B089YNCYG4" TargetMode="External"/><Relationship Id="rId28" Type="http://schemas.openxmlformats.org/officeDocument/2006/relationships/hyperlink" Target="https://www.reichelt.de/de/de/shop/produkt/8-bit-attiny_avr-risc_mikrocontroller_8_kb_20_mhz_dip-8-69299" TargetMode="External"/><Relationship Id="rId36" Type="http://schemas.openxmlformats.org/officeDocument/2006/relationships/hyperlink" Target="https://www.reichelt.de/de/de/shop/produkt/kupferlitze_isoliert_10_m_1_x_0_14_mm_rot-10297" TargetMode="External"/><Relationship Id="rId10" Type="http://schemas.openxmlformats.org/officeDocument/2006/relationships/hyperlink" Target="https://www.amazon.de/RUNCCI-YUN-Testplatine-gebogenem-Stift2-54mm-Konverter-Gr%C3%BCn/dp/B0F1MKPN28" TargetMode="External"/><Relationship Id="rId19" Type="http://schemas.openxmlformats.org/officeDocument/2006/relationships/hyperlink" Target="https://www.amazon.de/Yizhet-Stromversorgung-Abw%C3%A4rtswandler-Einstellbares-Abw%C3%A4rtsmodul/dp/B0823P6PW6" TargetMode="External"/><Relationship Id="rId31" Type="http://schemas.openxmlformats.org/officeDocument/2006/relationships/hyperlink" Target="https://www.reichelt.de/de/de/shop/produkt/ic-sockel_8-polig_doppelter_federkontakt-8230" TargetMode="External"/><Relationship Id="rId4" Type="http://schemas.openxmlformats.org/officeDocument/2006/relationships/hyperlink" Target="https://www.conrad.de/de/p/omron-d2f-01l2-mikroschalter-30-v-dc-0-1-a-1-x-ein-ein-1-st-bag-2591581.html" TargetMode="External"/><Relationship Id="rId9" Type="http://schemas.openxmlformats.org/officeDocument/2006/relationships/hyperlink" Target="https://www.amazon.de/RUNCCI-YUN-Testplatine-gebogenem-Stift2-54mm-Konverter-Gr%C3%BCn/dp/B0F1MKPN28" TargetMode="External"/><Relationship Id="rId14" Type="http://schemas.openxmlformats.org/officeDocument/2006/relationships/hyperlink" Target="https://www.amazon.de/RUNCCI-YUN-Testplatine-gebogenem-Stift2-54mm-Konverter-Gr%C3%BCn/dp/B0F1MKPN28" TargetMode="External"/><Relationship Id="rId22" Type="http://schemas.openxmlformats.org/officeDocument/2006/relationships/hyperlink" Target="https://www.amazon.de/RUNCCI-YUN-Testplatine-gebogenem-Stift2-54mm-Konverter-Gr%C3%BCn/dp/B0F1MKPN28" TargetMode="External"/><Relationship Id="rId27" Type="http://schemas.openxmlformats.org/officeDocument/2006/relationships/hyperlink" Target="https://www.reichelt.de/de/de/shop/produkt/ic-sockel_8-polig_doppelter_federkontakt-8230" TargetMode="External"/><Relationship Id="rId30" Type="http://schemas.openxmlformats.org/officeDocument/2006/relationships/hyperlink" Target="https://www.reichelt.de/de/de/shop/produkt/8-bit-attiny_avr-risc_mikrocontroller_8_kb_20_mhz_dip-8-69299" TargetMode="External"/><Relationship Id="rId35" Type="http://schemas.openxmlformats.org/officeDocument/2006/relationships/hyperlink" Target="https://www.reichelt.de/de/de/shop/produkt/push-pull_ttl-logik_4-kanal-treiber_0_6_aout_dip-16-9661" TargetMode="External"/><Relationship Id="rId8" Type="http://schemas.openxmlformats.org/officeDocument/2006/relationships/hyperlink" Target="https://www.conrad.de/de/p/tru-components-6351072-tc-r13-603c-05-schiebeschalter-250-v-ac-3-a-1-x-ein-ein-1-st-1587768.html" TargetMode="External"/><Relationship Id="rId3" Type="http://schemas.openxmlformats.org/officeDocument/2006/relationships/hyperlink" Target="https://www.reichelt.de/de/de/shop/produkt/mini_metallgetriebemotor_inkl_rad_und_halter-258664" TargetMode="External"/><Relationship Id="rId12" Type="http://schemas.openxmlformats.org/officeDocument/2006/relationships/hyperlink" Target="https://www.amazon.de/RUNCCI-YUN-Testplatine-gebogenem-Stift2-54mm-Konverter-Gr%C3%BCn/dp/B0F1MKPN28" TargetMode="External"/><Relationship Id="rId17" Type="http://schemas.openxmlformats.org/officeDocument/2006/relationships/hyperlink" Target="https://www.reichelt.de/de/de/shop/produkt/gleichrichterdiode_600_v_5_a_do-201-6340" TargetMode="External"/><Relationship Id="rId25" Type="http://schemas.openxmlformats.org/officeDocument/2006/relationships/hyperlink" Target="https://www.reichelt.de/de/de/shop/produkt/ic-sockel_8-polig_doppelter_federkontakt-8230" TargetMode="External"/><Relationship Id="rId33" Type="http://schemas.openxmlformats.org/officeDocument/2006/relationships/hyperlink" Target="https://www.reichelt.de/de/de/shop/produkt/8-bit-attiny_avr-risc_mikrocontroller_8_kb_20_mhz_dip-8-69299" TargetMode="External"/><Relationship Id="rId38" Type="http://schemas.openxmlformats.org/officeDocument/2006/relationships/hyperlink" Target="https://www.reichelt.de/de/de/shop/produkt/kupferlitze_isoliert_10_m_1_x_0_14_mm_schwarz-102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topLeftCell="A31" workbookViewId="0">
      <selection activeCell="E31" sqref="E31"/>
    </sheetView>
  </sheetViews>
  <sheetFormatPr baseColWidth="10" defaultColWidth="9.140625" defaultRowHeight="15" x14ac:dyDescent="0.25"/>
  <cols>
    <col min="1" max="1" width="22.85546875" customWidth="1"/>
    <col min="2" max="2" width="15.42578125" customWidth="1"/>
    <col min="3" max="3" width="31.140625" customWidth="1"/>
    <col min="4" max="4" width="12.7109375" customWidth="1"/>
    <col min="5" max="5" width="131.42578125" customWidth="1"/>
    <col min="6" max="6" width="22.85546875" style="9" customWidth="1"/>
    <col min="8" max="8" width="15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</row>
    <row r="2" spans="1:6" x14ac:dyDescent="0.25">
      <c r="A2" s="14" t="s">
        <v>6</v>
      </c>
      <c r="B2" t="s">
        <v>7</v>
      </c>
      <c r="C2" s="2" t="s">
        <v>8</v>
      </c>
      <c r="D2">
        <v>1</v>
      </c>
      <c r="F2" s="9">
        <v>0</v>
      </c>
    </row>
    <row r="3" spans="1:6" x14ac:dyDescent="0.25">
      <c r="A3" s="14"/>
      <c r="B3" t="s">
        <v>9</v>
      </c>
      <c r="C3" s="2" t="s">
        <v>10</v>
      </c>
      <c r="D3">
        <v>1</v>
      </c>
      <c r="F3" s="9">
        <v>0</v>
      </c>
    </row>
    <row r="4" spans="1:6" x14ac:dyDescent="0.25">
      <c r="A4" s="14"/>
      <c r="B4" t="s">
        <v>11</v>
      </c>
      <c r="C4" s="2" t="s">
        <v>12</v>
      </c>
      <c r="D4">
        <v>1</v>
      </c>
      <c r="F4" s="9">
        <v>0</v>
      </c>
    </row>
    <row r="5" spans="1:6" x14ac:dyDescent="0.25">
      <c r="A5" s="14"/>
      <c r="B5" t="s">
        <v>13</v>
      </c>
      <c r="C5" t="s">
        <v>14</v>
      </c>
      <c r="D5">
        <v>1</v>
      </c>
      <c r="E5" s="5" t="s">
        <v>15</v>
      </c>
      <c r="F5" s="9">
        <v>7.4</v>
      </c>
    </row>
    <row r="6" spans="1:6" x14ac:dyDescent="0.25">
      <c r="A6" s="14"/>
      <c r="B6" t="s">
        <v>16</v>
      </c>
      <c r="C6" t="s">
        <v>17</v>
      </c>
      <c r="D6">
        <v>2</v>
      </c>
      <c r="F6" s="9">
        <v>0</v>
      </c>
    </row>
    <row r="7" spans="1:6" x14ac:dyDescent="0.25">
      <c r="A7" s="14"/>
      <c r="C7" t="s">
        <v>18</v>
      </c>
      <c r="D7">
        <v>1</v>
      </c>
      <c r="E7" s="5" t="s">
        <v>19</v>
      </c>
      <c r="F7" s="9">
        <v>0.7</v>
      </c>
    </row>
    <row r="8" spans="1:6" x14ac:dyDescent="0.25">
      <c r="A8" s="14"/>
      <c r="C8" t="s">
        <v>20</v>
      </c>
      <c r="D8">
        <v>1</v>
      </c>
      <c r="E8" s="7" t="s">
        <v>21</v>
      </c>
      <c r="F8" s="9">
        <v>1.7</v>
      </c>
    </row>
    <row r="9" spans="1:6" x14ac:dyDescent="0.25">
      <c r="A9" s="14"/>
      <c r="C9" t="s">
        <v>22</v>
      </c>
      <c r="D9">
        <v>1</v>
      </c>
      <c r="E9" s="7" t="s">
        <v>23</v>
      </c>
      <c r="F9" s="9">
        <v>0.04</v>
      </c>
    </row>
    <row r="10" spans="1:6" s="10" customFormat="1" x14ac:dyDescent="0.25">
      <c r="F10" s="11">
        <v>0</v>
      </c>
    </row>
    <row r="11" spans="1:6" x14ac:dyDescent="0.25">
      <c r="A11" s="14" t="s">
        <v>24</v>
      </c>
      <c r="B11" t="s">
        <v>7</v>
      </c>
      <c r="C11" s="2" t="s">
        <v>25</v>
      </c>
      <c r="D11">
        <v>1</v>
      </c>
      <c r="F11" s="9">
        <v>0</v>
      </c>
    </row>
    <row r="12" spans="1:6" x14ac:dyDescent="0.25">
      <c r="A12" s="14"/>
      <c r="B12" t="s">
        <v>9</v>
      </c>
      <c r="C12" s="2" t="s">
        <v>26</v>
      </c>
      <c r="D12">
        <v>1</v>
      </c>
      <c r="F12" s="9">
        <v>0</v>
      </c>
    </row>
    <row r="13" spans="1:6" x14ac:dyDescent="0.25">
      <c r="A13" s="14"/>
      <c r="B13" t="s">
        <v>11</v>
      </c>
      <c r="C13" t="s">
        <v>27</v>
      </c>
      <c r="D13">
        <v>1</v>
      </c>
      <c r="E13" s="5" t="s">
        <v>28</v>
      </c>
      <c r="F13" s="9">
        <v>3.8</v>
      </c>
    </row>
    <row r="14" spans="1:6" x14ac:dyDescent="0.25">
      <c r="A14" s="14"/>
      <c r="B14" t="s">
        <v>13</v>
      </c>
      <c r="C14" t="s">
        <v>17</v>
      </c>
      <c r="D14">
        <v>2</v>
      </c>
      <c r="F14" s="9">
        <v>0</v>
      </c>
    </row>
    <row r="15" spans="1:6" x14ac:dyDescent="0.25">
      <c r="A15" s="14"/>
      <c r="B15" t="s">
        <v>16</v>
      </c>
      <c r="C15" t="s">
        <v>18</v>
      </c>
      <c r="D15">
        <v>1</v>
      </c>
      <c r="E15" s="5" t="s">
        <v>19</v>
      </c>
      <c r="F15" s="9">
        <v>0.7</v>
      </c>
    </row>
    <row r="16" spans="1:6" x14ac:dyDescent="0.25">
      <c r="A16" s="14"/>
      <c r="C16" t="s">
        <v>20</v>
      </c>
      <c r="D16">
        <v>1</v>
      </c>
      <c r="E16" s="7" t="s">
        <v>21</v>
      </c>
      <c r="F16" s="9">
        <v>1.7</v>
      </c>
    </row>
    <row r="17" spans="1:6" x14ac:dyDescent="0.25">
      <c r="A17" s="14"/>
      <c r="C17" t="s">
        <v>22</v>
      </c>
      <c r="D17">
        <v>1</v>
      </c>
      <c r="E17" s="7" t="s">
        <v>23</v>
      </c>
      <c r="F17" s="9">
        <v>0.04</v>
      </c>
    </row>
    <row r="18" spans="1:6" s="10" customFormat="1" x14ac:dyDescent="0.25">
      <c r="F18" s="11">
        <v>0</v>
      </c>
    </row>
    <row r="19" spans="1:6" x14ac:dyDescent="0.25">
      <c r="A19" s="14" t="s">
        <v>29</v>
      </c>
      <c r="B19" t="s">
        <v>7</v>
      </c>
      <c r="C19" s="3" t="s">
        <v>30</v>
      </c>
      <c r="D19">
        <v>1</v>
      </c>
      <c r="F19" s="9">
        <v>0</v>
      </c>
    </row>
    <row r="20" spans="1:6" x14ac:dyDescent="0.25">
      <c r="A20" s="14"/>
      <c r="B20" t="s">
        <v>9</v>
      </c>
      <c r="C20" s="3" t="s">
        <v>31</v>
      </c>
      <c r="D20">
        <v>1</v>
      </c>
      <c r="F20" s="9">
        <v>0</v>
      </c>
    </row>
    <row r="21" spans="1:6" x14ac:dyDescent="0.25">
      <c r="A21" s="14"/>
      <c r="B21" t="s">
        <v>11</v>
      </c>
      <c r="C21" s="3" t="s">
        <v>32</v>
      </c>
      <c r="D21">
        <v>1</v>
      </c>
      <c r="F21" s="9">
        <v>0</v>
      </c>
    </row>
    <row r="22" spans="1:6" x14ac:dyDescent="0.25">
      <c r="A22" s="14"/>
      <c r="B22" t="s">
        <v>13</v>
      </c>
      <c r="C22" t="s">
        <v>29</v>
      </c>
      <c r="D22">
        <v>1</v>
      </c>
      <c r="E22" s="6" t="s">
        <v>33</v>
      </c>
      <c r="F22" s="9">
        <v>7.1</v>
      </c>
    </row>
    <row r="23" spans="1:6" x14ac:dyDescent="0.25">
      <c r="A23" s="14"/>
      <c r="B23" t="s">
        <v>16</v>
      </c>
      <c r="C23" t="s">
        <v>18</v>
      </c>
      <c r="D23">
        <v>1</v>
      </c>
      <c r="E23" s="5" t="s">
        <v>19</v>
      </c>
      <c r="F23" s="9">
        <v>0.7</v>
      </c>
    </row>
    <row r="24" spans="1:6" x14ac:dyDescent="0.25">
      <c r="A24" s="14"/>
      <c r="C24" t="s">
        <v>17</v>
      </c>
      <c r="D24">
        <v>4</v>
      </c>
      <c r="F24" s="9">
        <v>0</v>
      </c>
    </row>
    <row r="25" spans="1:6" x14ac:dyDescent="0.25">
      <c r="A25" s="14"/>
      <c r="C25" t="s">
        <v>20</v>
      </c>
      <c r="D25">
        <v>1</v>
      </c>
      <c r="E25" s="7" t="s">
        <v>21</v>
      </c>
      <c r="F25" s="9">
        <v>1.7</v>
      </c>
    </row>
    <row r="26" spans="1:6" x14ac:dyDescent="0.25">
      <c r="A26" s="14"/>
      <c r="C26" t="s">
        <v>22</v>
      </c>
      <c r="D26">
        <v>1</v>
      </c>
      <c r="E26" s="7" t="s">
        <v>23</v>
      </c>
      <c r="F26" s="9">
        <v>0.04</v>
      </c>
    </row>
    <row r="27" spans="1:6" x14ac:dyDescent="0.25">
      <c r="A27" s="14"/>
      <c r="C27" t="s">
        <v>34</v>
      </c>
      <c r="D27">
        <v>1</v>
      </c>
      <c r="E27" s="7" t="s">
        <v>35</v>
      </c>
      <c r="F27" s="9">
        <v>3.95</v>
      </c>
    </row>
    <row r="28" spans="1:6" s="10" customFormat="1" x14ac:dyDescent="0.25">
      <c r="F28" s="11">
        <v>0</v>
      </c>
    </row>
    <row r="29" spans="1:6" x14ac:dyDescent="0.25">
      <c r="A29" s="14" t="s">
        <v>36</v>
      </c>
      <c r="B29" t="s">
        <v>7</v>
      </c>
      <c r="C29" s="3" t="s">
        <v>37</v>
      </c>
      <c r="D29">
        <v>1</v>
      </c>
      <c r="F29" s="9">
        <v>0</v>
      </c>
    </row>
    <row r="30" spans="1:6" x14ac:dyDescent="0.25">
      <c r="A30" s="14"/>
      <c r="B30" t="s">
        <v>9</v>
      </c>
      <c r="C30" s="3" t="s">
        <v>38</v>
      </c>
      <c r="D30">
        <v>1</v>
      </c>
      <c r="F30" s="9">
        <v>0</v>
      </c>
    </row>
    <row r="31" spans="1:6" x14ac:dyDescent="0.25">
      <c r="A31" s="14"/>
      <c r="B31" t="s">
        <v>11</v>
      </c>
      <c r="C31" s="3" t="s">
        <v>39</v>
      </c>
      <c r="D31">
        <v>1</v>
      </c>
      <c r="F31" s="9">
        <v>0</v>
      </c>
    </row>
    <row r="32" spans="1:6" x14ac:dyDescent="0.25">
      <c r="A32" s="14"/>
      <c r="B32" t="s">
        <v>13</v>
      </c>
      <c r="C32" s="3" t="s">
        <v>40</v>
      </c>
      <c r="D32">
        <v>1</v>
      </c>
      <c r="F32" s="9">
        <v>0</v>
      </c>
    </row>
    <row r="33" spans="1:6" x14ac:dyDescent="0.25">
      <c r="A33" s="14"/>
      <c r="B33" t="s">
        <v>16</v>
      </c>
      <c r="C33" s="3" t="s">
        <v>41</v>
      </c>
      <c r="D33">
        <v>1</v>
      </c>
      <c r="F33" s="9">
        <v>0</v>
      </c>
    </row>
    <row r="34" spans="1:6" x14ac:dyDescent="0.25">
      <c r="A34" s="14"/>
      <c r="C34" t="s">
        <v>36</v>
      </c>
      <c r="D34">
        <v>1</v>
      </c>
      <c r="E34" s="5" t="s">
        <v>42</v>
      </c>
      <c r="F34" s="9">
        <v>2.4900000000000002</v>
      </c>
    </row>
    <row r="35" spans="1:6" x14ac:dyDescent="0.25">
      <c r="A35" s="14"/>
      <c r="C35" t="s">
        <v>18</v>
      </c>
      <c r="D35">
        <v>1</v>
      </c>
      <c r="E35" s="5" t="s">
        <v>19</v>
      </c>
      <c r="F35" s="9">
        <v>0.7</v>
      </c>
    </row>
    <row r="36" spans="1:6" x14ac:dyDescent="0.25">
      <c r="A36" s="14"/>
      <c r="C36" t="s">
        <v>43</v>
      </c>
      <c r="D36">
        <v>2</v>
      </c>
      <c r="F36" s="9">
        <v>0</v>
      </c>
    </row>
    <row r="37" spans="1:6" x14ac:dyDescent="0.25">
      <c r="A37" s="14"/>
      <c r="C37" t="s">
        <v>17</v>
      </c>
      <c r="D37">
        <v>1</v>
      </c>
      <c r="F37" s="9">
        <v>0</v>
      </c>
    </row>
    <row r="38" spans="1:6" x14ac:dyDescent="0.25">
      <c r="A38" s="14"/>
      <c r="C38" t="s">
        <v>44</v>
      </c>
      <c r="D38">
        <v>2</v>
      </c>
      <c r="F38" s="9">
        <v>0</v>
      </c>
    </row>
    <row r="39" spans="1:6" x14ac:dyDescent="0.25">
      <c r="A39" s="14"/>
      <c r="C39" t="s">
        <v>45</v>
      </c>
      <c r="D39">
        <v>1</v>
      </c>
      <c r="F39" s="9">
        <v>0</v>
      </c>
    </row>
    <row r="40" spans="1:6" x14ac:dyDescent="0.25">
      <c r="A40" s="14"/>
      <c r="C40" t="s">
        <v>20</v>
      </c>
      <c r="D40">
        <v>1</v>
      </c>
      <c r="E40" s="7" t="s">
        <v>21</v>
      </c>
      <c r="F40" s="9">
        <v>1.7</v>
      </c>
    </row>
    <row r="41" spans="1:6" x14ac:dyDescent="0.25">
      <c r="A41" s="14"/>
      <c r="C41" t="s">
        <v>22</v>
      </c>
      <c r="D41">
        <v>1</v>
      </c>
      <c r="E41" s="7" t="s">
        <v>23</v>
      </c>
      <c r="F41" s="9">
        <v>0.04</v>
      </c>
    </row>
    <row r="42" spans="1:6" s="10" customFormat="1" x14ac:dyDescent="0.25">
      <c r="F42" s="11">
        <v>0</v>
      </c>
    </row>
    <row r="43" spans="1:6" x14ac:dyDescent="0.25">
      <c r="A43" s="14" t="s">
        <v>46</v>
      </c>
      <c r="B43" t="s">
        <v>9</v>
      </c>
      <c r="C43" s="3" t="s">
        <v>47</v>
      </c>
      <c r="D43">
        <v>1</v>
      </c>
      <c r="F43" s="9">
        <v>0</v>
      </c>
    </row>
    <row r="44" spans="1:6" x14ac:dyDescent="0.25">
      <c r="A44" s="14"/>
      <c r="B44" t="s">
        <v>7</v>
      </c>
      <c r="C44" s="3" t="s">
        <v>48</v>
      </c>
      <c r="D44">
        <v>1</v>
      </c>
      <c r="F44" s="9">
        <v>0</v>
      </c>
    </row>
    <row r="45" spans="1:6" x14ac:dyDescent="0.25">
      <c r="A45" s="14"/>
      <c r="B45" t="s">
        <v>11</v>
      </c>
      <c r="C45" t="s">
        <v>46</v>
      </c>
      <c r="D45">
        <v>1</v>
      </c>
      <c r="E45" s="5" t="s">
        <v>49</v>
      </c>
      <c r="F45" s="9">
        <v>4.5999999999999996</v>
      </c>
    </row>
    <row r="46" spans="1:6" x14ac:dyDescent="0.25">
      <c r="A46" s="14"/>
      <c r="B46" t="s">
        <v>13</v>
      </c>
      <c r="C46" t="s">
        <v>18</v>
      </c>
      <c r="D46">
        <v>1</v>
      </c>
      <c r="E46" s="5" t="s">
        <v>19</v>
      </c>
      <c r="F46" s="9">
        <v>0.7</v>
      </c>
    </row>
    <row r="47" spans="1:6" x14ac:dyDescent="0.25">
      <c r="A47" s="14"/>
      <c r="B47" t="s">
        <v>50</v>
      </c>
      <c r="C47" t="s">
        <v>17</v>
      </c>
      <c r="D47">
        <v>4</v>
      </c>
      <c r="F47" s="9">
        <v>0</v>
      </c>
    </row>
    <row r="48" spans="1:6" x14ac:dyDescent="0.25">
      <c r="A48" s="14"/>
      <c r="C48" t="s">
        <v>51</v>
      </c>
      <c r="D48">
        <v>1</v>
      </c>
      <c r="E48" s="7" t="s">
        <v>52</v>
      </c>
      <c r="F48" s="9">
        <v>1.5</v>
      </c>
    </row>
    <row r="49" spans="1:6" x14ac:dyDescent="0.25">
      <c r="A49" s="14"/>
      <c r="C49" t="s">
        <v>53</v>
      </c>
      <c r="D49">
        <v>1</v>
      </c>
      <c r="E49" s="8" t="s">
        <v>54</v>
      </c>
      <c r="F49" s="9">
        <v>4.99</v>
      </c>
    </row>
    <row r="50" spans="1:6" s="10" customFormat="1" x14ac:dyDescent="0.25">
      <c r="F50" s="11">
        <v>0</v>
      </c>
    </row>
    <row r="51" spans="1:6" x14ac:dyDescent="0.25">
      <c r="A51" s="14" t="s">
        <v>55</v>
      </c>
      <c r="B51" t="s">
        <v>9</v>
      </c>
      <c r="C51" s="3" t="s">
        <v>56</v>
      </c>
      <c r="D51">
        <v>1</v>
      </c>
      <c r="F51" s="9">
        <v>0</v>
      </c>
    </row>
    <row r="52" spans="1:6" x14ac:dyDescent="0.25">
      <c r="A52" s="14"/>
      <c r="B52" t="s">
        <v>7</v>
      </c>
      <c r="C52" s="3" t="s">
        <v>57</v>
      </c>
      <c r="D52">
        <v>1</v>
      </c>
      <c r="F52" s="9">
        <v>0</v>
      </c>
    </row>
    <row r="53" spans="1:6" x14ac:dyDescent="0.25">
      <c r="A53" s="14"/>
      <c r="B53" t="s">
        <v>11</v>
      </c>
      <c r="C53" t="s">
        <v>18</v>
      </c>
      <c r="D53">
        <v>1</v>
      </c>
      <c r="E53" s="5" t="s">
        <v>19</v>
      </c>
      <c r="F53" s="9">
        <v>0.7</v>
      </c>
    </row>
    <row r="54" spans="1:6" x14ac:dyDescent="0.25">
      <c r="A54" s="14"/>
      <c r="B54" t="s">
        <v>13</v>
      </c>
      <c r="C54" t="s">
        <v>58</v>
      </c>
      <c r="D54">
        <v>1</v>
      </c>
      <c r="E54" s="5" t="s">
        <v>59</v>
      </c>
      <c r="F54" s="9">
        <v>0.45</v>
      </c>
    </row>
    <row r="55" spans="1:6" x14ac:dyDescent="0.25">
      <c r="A55" s="14"/>
      <c r="B55" t="s">
        <v>16</v>
      </c>
      <c r="C55" t="s">
        <v>17</v>
      </c>
      <c r="D55">
        <v>1</v>
      </c>
      <c r="E55" s="5"/>
      <c r="F55" s="9">
        <v>0</v>
      </c>
    </row>
    <row r="56" spans="1:6" x14ac:dyDescent="0.25">
      <c r="A56" s="14"/>
      <c r="C56" t="s">
        <v>60</v>
      </c>
      <c r="D56">
        <v>2</v>
      </c>
      <c r="F56" s="9">
        <v>0.1</v>
      </c>
    </row>
    <row r="57" spans="1:6" x14ac:dyDescent="0.25">
      <c r="A57" s="14"/>
      <c r="C57" t="s">
        <v>20</v>
      </c>
      <c r="D57">
        <v>1</v>
      </c>
      <c r="E57" s="7" t="s">
        <v>21</v>
      </c>
      <c r="F57" s="9">
        <v>1.7</v>
      </c>
    </row>
    <row r="58" spans="1:6" x14ac:dyDescent="0.25">
      <c r="A58" s="14"/>
      <c r="C58" t="s">
        <v>22</v>
      </c>
      <c r="D58">
        <v>1</v>
      </c>
      <c r="E58" s="7" t="s">
        <v>23</v>
      </c>
      <c r="F58" s="9">
        <v>0.04</v>
      </c>
    </row>
    <row r="59" spans="1:6" s="10" customFormat="1" x14ac:dyDescent="0.25">
      <c r="A59" s="12"/>
      <c r="F59" s="11">
        <v>0</v>
      </c>
    </row>
    <row r="60" spans="1:6" x14ac:dyDescent="0.25">
      <c r="A60" s="14" t="s">
        <v>61</v>
      </c>
      <c r="B60" t="s">
        <v>9</v>
      </c>
      <c r="C60" s="3" t="s">
        <v>62</v>
      </c>
      <c r="D60">
        <v>1</v>
      </c>
      <c r="F60" s="9">
        <v>0</v>
      </c>
    </row>
    <row r="61" spans="1:6" x14ac:dyDescent="0.25">
      <c r="A61" s="14"/>
      <c r="B61" t="s">
        <v>7</v>
      </c>
      <c r="C61" s="3" t="s">
        <v>63</v>
      </c>
      <c r="D61">
        <v>1</v>
      </c>
      <c r="F61" s="9">
        <v>0</v>
      </c>
    </row>
    <row r="62" spans="1:6" x14ac:dyDescent="0.25">
      <c r="A62" s="14"/>
      <c r="C62" s="3" t="s">
        <v>64</v>
      </c>
      <c r="D62">
        <v>1</v>
      </c>
      <c r="F62" s="9">
        <v>0</v>
      </c>
    </row>
    <row r="63" spans="1:6" x14ac:dyDescent="0.25">
      <c r="A63" s="14"/>
      <c r="C63" s="4" t="s">
        <v>65</v>
      </c>
      <c r="D63">
        <v>1</v>
      </c>
      <c r="E63" t="s">
        <v>66</v>
      </c>
      <c r="F63" s="9">
        <v>0</v>
      </c>
    </row>
    <row r="64" spans="1:6" x14ac:dyDescent="0.25">
      <c r="A64" s="14"/>
      <c r="C64" s="4" t="s">
        <v>67</v>
      </c>
      <c r="D64">
        <v>1</v>
      </c>
      <c r="E64" t="s">
        <v>66</v>
      </c>
      <c r="F64" s="9">
        <v>0</v>
      </c>
    </row>
    <row r="65" spans="1:6" x14ac:dyDescent="0.25">
      <c r="A65" s="14"/>
      <c r="C65" t="s">
        <v>68</v>
      </c>
      <c r="D65">
        <v>1</v>
      </c>
      <c r="E65" s="5" t="s">
        <v>69</v>
      </c>
      <c r="F65" s="9">
        <v>20.13</v>
      </c>
    </row>
    <row r="66" spans="1:6" x14ac:dyDescent="0.25">
      <c r="A66" s="14"/>
      <c r="C66" t="s">
        <v>70</v>
      </c>
      <c r="D66">
        <v>1</v>
      </c>
      <c r="E66" s="5" t="s">
        <v>71</v>
      </c>
      <c r="F66" s="9">
        <v>0.9</v>
      </c>
    </row>
    <row r="67" spans="1:6" x14ac:dyDescent="0.25">
      <c r="A67" s="14"/>
      <c r="C67" t="s">
        <v>72</v>
      </c>
      <c r="D67">
        <v>1</v>
      </c>
      <c r="E67" s="5" t="s">
        <v>73</v>
      </c>
      <c r="F67" s="9">
        <v>0.95</v>
      </c>
    </row>
    <row r="68" spans="1:6" x14ac:dyDescent="0.25">
      <c r="A68" s="14"/>
      <c r="C68" t="s">
        <v>74</v>
      </c>
      <c r="D68">
        <v>1</v>
      </c>
      <c r="E68" s="5" t="s">
        <v>75</v>
      </c>
      <c r="F68" s="9">
        <v>2.29</v>
      </c>
    </row>
    <row r="69" spans="1:6" x14ac:dyDescent="0.25">
      <c r="A69" s="14"/>
      <c r="C69" t="s">
        <v>18</v>
      </c>
      <c r="D69">
        <v>6</v>
      </c>
      <c r="E69" s="5" t="s">
        <v>19</v>
      </c>
      <c r="F69" s="9">
        <f>0.7*D69</f>
        <v>4.1999999999999993</v>
      </c>
    </row>
    <row r="70" spans="1:6" x14ac:dyDescent="0.25">
      <c r="A70" s="14"/>
      <c r="C70" t="s">
        <v>76</v>
      </c>
      <c r="D70">
        <v>4</v>
      </c>
      <c r="F70" s="9">
        <v>0</v>
      </c>
    </row>
    <row r="71" spans="1:6" x14ac:dyDescent="0.25">
      <c r="A71" s="14"/>
      <c r="C71" t="s">
        <v>17</v>
      </c>
      <c r="D71">
        <v>6</v>
      </c>
      <c r="F71" s="9">
        <v>0</v>
      </c>
    </row>
    <row r="72" spans="1:6" x14ac:dyDescent="0.25">
      <c r="A72" s="14"/>
      <c r="C72" t="s">
        <v>77</v>
      </c>
      <c r="D72">
        <v>2</v>
      </c>
      <c r="F72" s="9">
        <v>0</v>
      </c>
    </row>
    <row r="73" spans="1:6" x14ac:dyDescent="0.25">
      <c r="A73" s="14"/>
      <c r="C73" t="s">
        <v>78</v>
      </c>
      <c r="D73">
        <v>2</v>
      </c>
      <c r="F73" s="9">
        <v>0</v>
      </c>
    </row>
    <row r="74" spans="1:6" s="10" customFormat="1" x14ac:dyDescent="0.25">
      <c r="F74" s="11">
        <v>0</v>
      </c>
    </row>
    <row r="75" spans="1:6" x14ac:dyDescent="0.25">
      <c r="A75" s="14" t="s">
        <v>79</v>
      </c>
      <c r="C75" t="s">
        <v>80</v>
      </c>
      <c r="D75">
        <v>1</v>
      </c>
      <c r="E75" s="8" t="s">
        <v>81</v>
      </c>
      <c r="F75" s="9">
        <v>1.8</v>
      </c>
    </row>
    <row r="76" spans="1:6" x14ac:dyDescent="0.25">
      <c r="A76" s="14"/>
      <c r="C76" t="s">
        <v>82</v>
      </c>
      <c r="D76">
        <v>2</v>
      </c>
      <c r="E76" s="8" t="s">
        <v>83</v>
      </c>
      <c r="F76" s="9">
        <v>0.28000000000000003</v>
      </c>
    </row>
    <row r="77" spans="1:6" x14ac:dyDescent="0.25">
      <c r="A77" s="14"/>
      <c r="C77" t="s">
        <v>53</v>
      </c>
      <c r="D77">
        <v>1</v>
      </c>
      <c r="E77" s="8" t="s">
        <v>54</v>
      </c>
      <c r="F77" s="9">
        <v>4.99</v>
      </c>
    </row>
    <row r="78" spans="1:6" x14ac:dyDescent="0.25">
      <c r="A78" s="14"/>
      <c r="C78" t="s">
        <v>84</v>
      </c>
      <c r="D78">
        <v>1</v>
      </c>
      <c r="E78" s="8" t="s">
        <v>85</v>
      </c>
      <c r="F78" s="9">
        <v>8.98</v>
      </c>
    </row>
    <row r="79" spans="1:6" x14ac:dyDescent="0.25">
      <c r="A79" s="14"/>
      <c r="C79" t="s">
        <v>86</v>
      </c>
      <c r="D79">
        <v>1</v>
      </c>
      <c r="E79" s="8" t="s">
        <v>87</v>
      </c>
      <c r="F79" s="9">
        <v>1</v>
      </c>
    </row>
    <row r="80" spans="1:6" x14ac:dyDescent="0.25">
      <c r="A80" s="14"/>
      <c r="C80" t="s">
        <v>88</v>
      </c>
      <c r="D80">
        <v>1</v>
      </c>
      <c r="E80" s="8" t="s">
        <v>89</v>
      </c>
      <c r="F80" s="9">
        <v>0.3</v>
      </c>
    </row>
    <row r="81" spans="1:9" s="10" customFormat="1" x14ac:dyDescent="0.25">
      <c r="E81" s="13"/>
      <c r="F81" s="11">
        <v>0</v>
      </c>
    </row>
    <row r="82" spans="1:9" x14ac:dyDescent="0.25">
      <c r="A82" s="4" t="s">
        <v>90</v>
      </c>
      <c r="C82" t="s">
        <v>51</v>
      </c>
      <c r="D82">
        <v>1</v>
      </c>
      <c r="E82" s="7" t="s">
        <v>52</v>
      </c>
      <c r="F82" s="9">
        <v>1.5</v>
      </c>
    </row>
    <row r="83" spans="1:9" x14ac:dyDescent="0.25">
      <c r="C83" t="s">
        <v>60</v>
      </c>
      <c r="D83">
        <v>2</v>
      </c>
      <c r="F83" s="9">
        <v>0.2</v>
      </c>
    </row>
    <row r="84" spans="1:9" s="10" customFormat="1" x14ac:dyDescent="0.25">
      <c r="F84" s="11">
        <v>0</v>
      </c>
    </row>
    <row r="85" spans="1:9" x14ac:dyDescent="0.25">
      <c r="A85" t="s">
        <v>91</v>
      </c>
      <c r="C85" t="s">
        <v>92</v>
      </c>
      <c r="D85" t="s">
        <v>93</v>
      </c>
      <c r="E85" s="7" t="s">
        <v>81</v>
      </c>
      <c r="F85" s="9">
        <v>1.8</v>
      </c>
    </row>
    <row r="86" spans="1:9" x14ac:dyDescent="0.25">
      <c r="C86" t="s">
        <v>94</v>
      </c>
      <c r="D86" t="s">
        <v>95</v>
      </c>
      <c r="E86" s="7" t="s">
        <v>96</v>
      </c>
      <c r="F86" s="9">
        <v>0.93</v>
      </c>
    </row>
    <row r="87" spans="1:9" x14ac:dyDescent="0.25">
      <c r="C87" t="s">
        <v>97</v>
      </c>
      <c r="D87" t="s">
        <v>95</v>
      </c>
      <c r="E87" s="7" t="s">
        <v>98</v>
      </c>
      <c r="F87" s="9">
        <v>0.93</v>
      </c>
    </row>
    <row r="88" spans="1:9" x14ac:dyDescent="0.25">
      <c r="C88" t="s">
        <v>99</v>
      </c>
      <c r="D88" t="s">
        <v>95</v>
      </c>
      <c r="E88" s="7" t="s">
        <v>100</v>
      </c>
      <c r="F88" s="9">
        <v>0.93</v>
      </c>
    </row>
    <row r="89" spans="1:9" x14ac:dyDescent="0.25">
      <c r="C89" t="s">
        <v>101</v>
      </c>
      <c r="D89" t="s">
        <v>95</v>
      </c>
      <c r="F89" s="9">
        <v>10</v>
      </c>
    </row>
    <row r="90" spans="1:9" x14ac:dyDescent="0.25">
      <c r="C90" t="s">
        <v>102</v>
      </c>
      <c r="D90" t="s">
        <v>103</v>
      </c>
      <c r="F90" s="9">
        <v>5</v>
      </c>
    </row>
    <row r="93" spans="1:9" x14ac:dyDescent="0.25">
      <c r="H93" t="s">
        <v>104</v>
      </c>
      <c r="I93" s="9">
        <f>SUM(F:F)</f>
        <v>116.39000000000004</v>
      </c>
    </row>
  </sheetData>
  <mergeCells count="8">
    <mergeCell ref="A2:A9"/>
    <mergeCell ref="A75:A80"/>
    <mergeCell ref="A60:A73"/>
    <mergeCell ref="A11:A17"/>
    <mergeCell ref="A19:A27"/>
    <mergeCell ref="A29:A41"/>
    <mergeCell ref="A51:A58"/>
    <mergeCell ref="A43:A49"/>
  </mergeCells>
  <hyperlinks>
    <hyperlink ref="E5" r:id="rId1" xr:uid="{D537CED2-BC24-4D61-A0D8-6B4856285B75}"/>
    <hyperlink ref="E13" r:id="rId2" xr:uid="{F8003481-10FB-40BB-95A8-E2030C3A43A7}"/>
    <hyperlink ref="E22" r:id="rId3" location="closemodal" display="https://www.reichelt.de/de/de/shop/produkt/mini_metallgetriebemotor_inkl_rad_und_halter-258664 - closemodal" xr:uid="{19E69BED-9DB1-4204-AA5E-1610A11EC753}"/>
    <hyperlink ref="E34" r:id="rId4" xr:uid="{AAD1F03C-28A9-4953-8F65-5A75822AE1F6}"/>
    <hyperlink ref="E65" r:id="rId5" xr:uid="{AE020EDE-1C6D-4D40-B72D-43FF54AF3370}"/>
    <hyperlink ref="E45" r:id="rId6" xr:uid="{B1A0DA00-1F70-40EB-A052-FCF5B015A50B}"/>
    <hyperlink ref="E66" r:id="rId7" xr:uid="{4EDFF21F-F325-4671-A8D3-B038E5932291}"/>
    <hyperlink ref="E68" r:id="rId8" location="productTechData" display="https://www.conrad.de/de/p/tru-components-6351072-tc-r13-603c-05-schiebeschalter-250-v-ac-3-a-1-x-ein-ein-1-st-1587768.html - productTechData" xr:uid="{ADD2F6B3-4C22-4120-9A64-CBCAA6D5534A}"/>
    <hyperlink ref="E46" r:id="rId9" xr:uid="{65D66213-0ED2-4AF1-A3C2-1C076B9C0C75}"/>
    <hyperlink ref="E69" r:id="rId10" xr:uid="{4F34EB7E-197F-41B3-9B6A-119AA000A222}"/>
    <hyperlink ref="E35" r:id="rId11" xr:uid="{C5F6F00E-685C-42FD-A1DA-EAE88DDC3D0C}"/>
    <hyperlink ref="E23" r:id="rId12" xr:uid="{33115E9C-FFD6-4536-A2A1-B313B81F9098}"/>
    <hyperlink ref="E15" r:id="rId13" xr:uid="{D9979008-5BDA-4ED3-AF08-6C5461C61DE2}"/>
    <hyperlink ref="E7" r:id="rId14" xr:uid="{78B1A56C-1B10-4E1C-A852-664FD32722B5}"/>
    <hyperlink ref="E67" r:id="rId15" xr:uid="{D160E87E-B0EC-4608-8725-036B6D1DDC30}"/>
    <hyperlink ref="E75" r:id="rId16" xr:uid="{E3C6A530-D0AA-4F73-BBFE-673AFA3F7E40}"/>
    <hyperlink ref="E76" r:id="rId17" xr:uid="{C81729BE-16CB-480B-92DC-D2709987D890}"/>
    <hyperlink ref="E77" r:id="rId18" xr:uid="{13E0B5C7-3B1F-4BBE-A873-71245008A27D}"/>
    <hyperlink ref="E78" r:id="rId19" xr:uid="{DC2874BA-1E84-43C4-9AB5-D7E52DCB36BC}"/>
    <hyperlink ref="E80" r:id="rId20" xr:uid="{C14639C1-4FBF-43A4-98B6-366BCAE7C5DB}"/>
    <hyperlink ref="E79" r:id="rId21" xr:uid="{771FAE16-D7FB-4D80-B152-525737258F25}"/>
    <hyperlink ref="E53" r:id="rId22" xr:uid="{6A474D5E-7D65-4FCA-A8A6-097BC86D4136}"/>
    <hyperlink ref="E54" r:id="rId23" xr:uid="{482109F1-5ACB-4599-AD5D-AA1A35DEB5FD}"/>
    <hyperlink ref="E8" r:id="rId24" xr:uid="{FA821D9F-F05E-4EB6-988E-F7ED5E3EA163}"/>
    <hyperlink ref="E9" r:id="rId25" xr:uid="{9DE6A59D-5674-4944-AD72-4BF283560BD0}"/>
    <hyperlink ref="E16" r:id="rId26" xr:uid="{722F676D-28F8-4A60-A605-83C54E420979}"/>
    <hyperlink ref="E17" r:id="rId27" xr:uid="{4151DC8B-2DC9-46C7-B241-DB88DAE2A45A}"/>
    <hyperlink ref="E25" r:id="rId28" xr:uid="{F3126104-28C1-429A-B387-2EE478F8819B}"/>
    <hyperlink ref="E26" r:id="rId29" xr:uid="{ECACD426-D3A9-4C19-906A-3978046F07DF}"/>
    <hyperlink ref="E40" r:id="rId30" xr:uid="{4EC44A7D-BA84-442D-810C-77A594DA0021}"/>
    <hyperlink ref="E41" r:id="rId31" xr:uid="{E08A2F37-E970-4457-A2B0-712E38ED4C4A}"/>
    <hyperlink ref="E85" r:id="rId32" xr:uid="{20808A86-9D1D-4497-973B-B71DFE47871D}"/>
    <hyperlink ref="E57" r:id="rId33" xr:uid="{79F9A2EA-AA05-4A94-B2B4-C9DD577F345B}"/>
    <hyperlink ref="E58" r:id="rId34" xr:uid="{975DA9E2-04A8-4FD1-96FD-F317D2FB234D}"/>
    <hyperlink ref="E27" r:id="rId35" xr:uid="{108312B7-28E9-48BB-940A-75176C944CFC}"/>
    <hyperlink ref="E86" r:id="rId36" xr:uid="{C29DDBFD-3DFB-43EF-844A-54AFE8027B59}"/>
    <hyperlink ref="E88" r:id="rId37" xr:uid="{51EF743E-6F09-41AB-88D4-7694F3D87040}"/>
    <hyperlink ref="E87" r:id="rId38" xr:uid="{925C7DDE-1D5C-410D-8A35-9EA92695BA21}"/>
    <hyperlink ref="E82" r:id="rId39" xr:uid="{E6316512-F54E-4239-A8CA-E6985292D8CC}"/>
    <hyperlink ref="E48" r:id="rId40" xr:uid="{CEA4EFAB-0A4A-4336-9068-9936D95E3769}"/>
    <hyperlink ref="E49" r:id="rId41" xr:uid="{D266474C-E46E-4872-AECE-A97353CA714F}"/>
  </hyperlinks>
  <pageMargins left="0.7" right="0.7" top="0.75" bottom="0.75" header="0.3" footer="0.3"/>
  <pageSetup paperSize="9" orientation="portrait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Hannes Kochendörfer</dc:creator>
  <cp:keywords/>
  <dc:description/>
  <cp:lastModifiedBy>Hannes Kochendörfer</cp:lastModifiedBy>
  <cp:revision/>
  <dcterms:created xsi:type="dcterms:W3CDTF">2015-06-05T18:19:34Z</dcterms:created>
  <dcterms:modified xsi:type="dcterms:W3CDTF">2026-01-25T20:58:15Z</dcterms:modified>
  <cp:category/>
  <cp:contentStatus/>
</cp:coreProperties>
</file>